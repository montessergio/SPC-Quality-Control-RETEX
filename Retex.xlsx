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B9A72BA-63D8-4F18-94CF-17202C15D269}" xr6:coauthVersionLast="37" xr6:coauthVersionMax="37" xr10:uidLastSave="{00000000-0000-0000-0000-000000000000}"/>
  <bookViews>
    <workbookView xWindow="0" yWindow="0" windowWidth="23040" windowHeight="9060" xr2:uid="{A885F257-22F4-4B85-B447-9A74EF78C78C}"/>
  </bookViews>
  <sheets>
    <sheet name="Hoja1" sheetId="1" r:id="rId1"/>
  </sheets>
  <definedNames>
    <definedName name="CONTROL_PESOS">Hoja1!$I$2:$AB$22</definedName>
    <definedName name="TABLA_CAPACIDAD">#REF!</definedName>
    <definedName name="TABLA_PESOS">Tabla3[#All]</definedName>
    <definedName name="TABLA_PUREZA">Tabla2[#All]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Q3" i="1"/>
  <c r="R3" i="1"/>
  <c r="Q4" i="1"/>
  <c r="R4" i="1"/>
  <c r="Q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S17" i="1" l="1"/>
  <c r="X12" i="1"/>
  <c r="X7" i="1"/>
  <c r="S15" i="1"/>
  <c r="S11" i="1"/>
  <c r="S9" i="1"/>
  <c r="X22" i="1"/>
  <c r="S16" i="1"/>
  <c r="X9" i="1"/>
  <c r="X8" i="1"/>
  <c r="X4" i="1"/>
  <c r="X10" i="1"/>
  <c r="S22" i="1"/>
  <c r="X19" i="1"/>
  <c r="S13" i="1"/>
  <c r="S4" i="1"/>
  <c r="X11" i="1"/>
  <c r="S8" i="1"/>
  <c r="X3" i="1"/>
  <c r="X18" i="1"/>
  <c r="S7" i="1"/>
  <c r="X17" i="1"/>
  <c r="S14" i="1"/>
  <c r="X16" i="1"/>
  <c r="S5" i="1"/>
  <c r="S20" i="1"/>
  <c r="X15" i="1"/>
  <c r="S12" i="1"/>
  <c r="S19" i="1"/>
  <c r="X14" i="1"/>
  <c r="X6" i="1"/>
  <c r="S3" i="1"/>
  <c r="X21" i="1"/>
  <c r="S18" i="1"/>
  <c r="X13" i="1"/>
  <c r="S10" i="1"/>
  <c r="X5" i="1"/>
  <c r="S6" i="1"/>
  <c r="S21" i="1"/>
  <c r="X20" i="1"/>
  <c r="B20" i="1"/>
  <c r="B19" i="1"/>
  <c r="D4" i="1"/>
  <c r="D5" i="1"/>
  <c r="D6" i="1"/>
  <c r="D7" i="1"/>
  <c r="D3" i="1"/>
  <c r="U7" i="1" l="1"/>
  <c r="T8" i="1"/>
  <c r="U15" i="1"/>
  <c r="T16" i="1"/>
  <c r="T18" i="1"/>
  <c r="T3" i="1"/>
  <c r="T11" i="1"/>
  <c r="Y11" i="1" s="1"/>
  <c r="T4" i="1"/>
  <c r="Y4" i="1" s="1"/>
  <c r="T5" i="1"/>
  <c r="T13" i="1"/>
  <c r="T6" i="1"/>
  <c r="U13" i="1"/>
  <c r="T22" i="1"/>
  <c r="T7" i="1"/>
  <c r="Y7" i="1" s="1"/>
  <c r="U8" i="1"/>
  <c r="T9" i="1"/>
  <c r="Y9" i="1" s="1"/>
  <c r="U16" i="1"/>
  <c r="T17" i="1"/>
  <c r="U9" i="1"/>
  <c r="T10" i="1"/>
  <c r="U17" i="1"/>
  <c r="U10" i="1"/>
  <c r="U18" i="1"/>
  <c r="T19" i="1"/>
  <c r="Y19" i="1" s="1"/>
  <c r="U3" i="1"/>
  <c r="U11" i="1"/>
  <c r="T12" i="1"/>
  <c r="U19" i="1"/>
  <c r="T20" i="1"/>
  <c r="U4" i="1"/>
  <c r="U12" i="1"/>
  <c r="U20" i="1"/>
  <c r="T21" i="1"/>
  <c r="U5" i="1"/>
  <c r="T14" i="1"/>
  <c r="U21" i="1"/>
  <c r="U6" i="1"/>
  <c r="U14" i="1"/>
  <c r="T15" i="1"/>
  <c r="Y15" i="1" s="1"/>
  <c r="U22" i="1"/>
  <c r="W5" i="1"/>
  <c r="V6" i="1"/>
  <c r="W13" i="1"/>
  <c r="V14" i="1"/>
  <c r="W21" i="1"/>
  <c r="V22" i="1"/>
  <c r="W22" i="1"/>
  <c r="V16" i="1"/>
  <c r="V9" i="1"/>
  <c r="V17" i="1"/>
  <c r="W9" i="1"/>
  <c r="V18" i="1"/>
  <c r="V3" i="1"/>
  <c r="W10" i="1"/>
  <c r="W18" i="1"/>
  <c r="V4" i="1"/>
  <c r="W11" i="1"/>
  <c r="W19" i="1"/>
  <c r="W4" i="1"/>
  <c r="V5" i="1"/>
  <c r="W12" i="1"/>
  <c r="W20" i="1"/>
  <c r="V21" i="1"/>
  <c r="W6" i="1"/>
  <c r="V7" i="1"/>
  <c r="W14" i="1"/>
  <c r="V15" i="1"/>
  <c r="W7" i="1"/>
  <c r="V8" i="1"/>
  <c r="W15" i="1"/>
  <c r="W8" i="1"/>
  <c r="W16" i="1"/>
  <c r="V10" i="1"/>
  <c r="W17" i="1"/>
  <c r="V11" i="1"/>
  <c r="V19" i="1"/>
  <c r="W3" i="1"/>
  <c r="V12" i="1"/>
  <c r="V20" i="1"/>
  <c r="V13" i="1"/>
  <c r="E6" i="1"/>
  <c r="E4" i="1"/>
  <c r="E3" i="1"/>
  <c r="F3" i="1" s="1"/>
  <c r="H3" i="1" s="1"/>
  <c r="E7" i="1"/>
  <c r="E5" i="1"/>
  <c r="Y3" i="1" l="1"/>
  <c r="Y16" i="1"/>
  <c r="Y14" i="1"/>
  <c r="Y6" i="1"/>
  <c r="Y17" i="1"/>
  <c r="Y13" i="1"/>
  <c r="Y8" i="1"/>
  <c r="Y20" i="1"/>
  <c r="Y22" i="1"/>
  <c r="Y18" i="1"/>
  <c r="Y10" i="1"/>
  <c r="Y12" i="1"/>
  <c r="Y21" i="1"/>
  <c r="Y5" i="1"/>
  <c r="G7" i="1"/>
  <c r="F4" i="1"/>
  <c r="H4" i="1" s="1"/>
  <c r="G3" i="1"/>
  <c r="F5" i="1"/>
  <c r="H5" i="1" s="1"/>
  <c r="F6" i="1"/>
  <c r="H6" i="1" s="1"/>
  <c r="F7" i="1"/>
  <c r="H7" i="1" s="1"/>
  <c r="G4" i="1"/>
  <c r="G5" i="1"/>
  <c r="G6" i="1"/>
</calcChain>
</file>

<file path=xl/sharedStrings.xml><?xml version="1.0" encoding="utf-8"?>
<sst xmlns="http://schemas.openxmlformats.org/spreadsheetml/2006/main" count="52" uniqueCount="52">
  <si>
    <t>Pacas inspeccionadas (n)</t>
  </si>
  <si>
    <t>Pacas defectuosas</t>
  </si>
  <si>
    <t>Fracción defectuosa (p)</t>
  </si>
  <si>
    <t>LCS</t>
  </si>
  <si>
    <t>LCI</t>
  </si>
  <si>
    <t>Línea central (p̄)</t>
  </si>
  <si>
    <t>Semana</t>
  </si>
  <si>
    <t>GRÁFICO p (fracción defectuosa)</t>
  </si>
  <si>
    <t>Subgrupo</t>
  </si>
  <si>
    <t>Columna1</t>
  </si>
  <si>
    <t>Columna2</t>
  </si>
  <si>
    <t>GRÁFICO X̄-R (Control del peso de las pacas)</t>
  </si>
  <si>
    <t>M1</t>
  </si>
  <si>
    <t>M2</t>
  </si>
  <si>
    <t>M3</t>
  </si>
  <si>
    <t>M4</t>
  </si>
  <si>
    <t>M5</t>
  </si>
  <si>
    <t>X̄ (Media)</t>
  </si>
  <si>
    <t>R( Rango)</t>
  </si>
  <si>
    <t>LCS R</t>
  </si>
  <si>
    <t>LCI R</t>
  </si>
  <si>
    <t>Linea Central X̄</t>
  </si>
  <si>
    <t>LCS X̄</t>
  </si>
  <si>
    <t>LCI X̄</t>
  </si>
  <si>
    <t>Linea Central R</t>
  </si>
  <si>
    <t>Analisis de Capacidad (CpY Cpk)</t>
  </si>
  <si>
    <t>D4</t>
  </si>
  <si>
    <t>D3</t>
  </si>
  <si>
    <t>A2</t>
  </si>
  <si>
    <t>Limite Superior (LS)</t>
  </si>
  <si>
    <t>Concepto</t>
  </si>
  <si>
    <t>Valor</t>
  </si>
  <si>
    <t>Origen del Dato</t>
  </si>
  <si>
    <t>Limite Inferior (LI)</t>
  </si>
  <si>
    <t>Media (µ)</t>
  </si>
  <si>
    <t>Desviacion (σ)</t>
  </si>
  <si>
    <t>Índice Cp</t>
  </si>
  <si>
    <t>Índice Cpk</t>
  </si>
  <si>
    <t>Especificacion máxima de pureza</t>
  </si>
  <si>
    <t>Especificacion minima de pureza</t>
  </si>
  <si>
    <t>Variación Estandar del Proceso</t>
  </si>
  <si>
    <t>Promedio real de los últimos 30 lotes</t>
  </si>
  <si>
    <t>Indica Capacidad Real Centrada</t>
  </si>
  <si>
    <t>Indica Capacidad Potencial</t>
  </si>
  <si>
    <t>Estatus</t>
  </si>
  <si>
    <t>ESTATUS</t>
  </si>
  <si>
    <t>LSE</t>
  </si>
  <si>
    <t>LIE</t>
  </si>
  <si>
    <t>MEDIA</t>
  </si>
  <si>
    <t>DESVIACION</t>
  </si>
  <si>
    <t>CP</t>
  </si>
  <si>
    <t>CPK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</si>
</sst>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0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0" xfId="0" applyBorder="1"/>
    <xf numFmtId="0" fontId="1" fillId="0" borderId="1" xfId="0" applyFont="1" applyFill="1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3" xfId="0" applyBorder="1"/>
    <xf numFmtId="0" fontId="1" fillId="2" borderId="1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0" borderId="0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264C6C-043F-4219-BE5E-114F7A48D8FA}" name="Tabla2" displayName="Tabla2" ref="A2:H7" totalsRowShown="0" headerRowDxfId="26" dataDxfId="24" headerRowBorderDxfId="25" tableBorderDxfId="23" totalsRowBorderDxfId="22">
  <autoFilter ref="A2:H7" xr:uid="{9B8482C2-769D-480F-A631-D03ED8B4703D}"/>
  <tableColumns count="8">
    <tableColumn id="1" xr3:uid="{60943044-A549-4301-B94D-50DED9865375}" name="Semana" dataDxfId="21"/>
    <tableColumn id="2" xr3:uid="{3AFF0F6D-E35F-44B2-9541-6B6380E97B4F}" name="Pacas inspeccionadas (n)" dataDxfId="20"/>
    <tableColumn id="3" xr3:uid="{D7CE3C56-7794-494E-83DF-FB46A62436F1}" name="Pacas defectuosas" dataDxfId="19"/>
    <tableColumn id="4" xr3:uid="{33864D6D-B193-4B41-A0D6-B0583DEC0179}" name="Fracción defectuosa (p)" dataDxfId="18">
      <calculatedColumnFormula>C3/B3</calculatedColumnFormula>
    </tableColumn>
    <tableColumn id="5" xr3:uid="{6E1A4DED-8C92-48AE-90F3-8EF20FC1D586}" name="Línea central (p̄)" dataDxfId="17">
      <calculatedColumnFormula>AVERAGE($D$3:$D$7)</calculatedColumnFormula>
    </tableColumn>
    <tableColumn id="6" xr3:uid="{5E897811-45B0-45ED-9706-D901CD8E4308}" name="LCS" dataDxfId="16">
      <calculatedColumnFormula>$E$3+3*SQRT($E$3*(1-$E$3)/$B$3)</calculatedColumnFormula>
    </tableColumn>
    <tableColumn id="7" xr3:uid="{B4E6B562-4D0D-4814-8159-4F93E90ECEA5}" name="LCI" dataDxfId="15">
      <calculatedColumnFormula>MAX(0,$E$3-3*SQRT($E$3*(1-$E$3)/$B$3))</calculatedColumnFormula>
    </tableColumn>
    <tableColumn id="8" xr3:uid="{89D4BDF5-8666-4C4B-91C2-1B59694BB688}" name="Estatus" dataDxfId="14">
      <calculatedColumnFormula>IF(D3&gt;F3,"FUERA DE CONTROL","ESTABLE")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98B8DD-59AB-4E37-8B3E-596C3EC353BF}" name="Tabla3" displayName="Tabla3" ref="I2:AB22" totalsRowShown="0" headerRowDxfId="13" headerRowBorderDxfId="12" tableBorderDxfId="11">
  <autoFilter ref="I2:AB22" xr:uid="{1C4255BC-EAE9-4C01-AE46-7ACA698B3C2F}"/>
  <tableColumns count="20">
    <tableColumn id="1" xr3:uid="{ABE4E004-A8A1-4414-8DB7-71CF99105263}" name="Subgrupo"/>
    <tableColumn id="2" xr3:uid="{46005019-0855-4C65-B1AA-E5089D6E489F}" name="M1"/>
    <tableColumn id="3" xr3:uid="{5CDD0BEB-C43E-4AAB-920B-D22B619FCAE1}" name="M2"/>
    <tableColumn id="4" xr3:uid="{D0EBB0E9-E1B6-4828-B297-3E42310015AE}" name="M3"/>
    <tableColumn id="5" xr3:uid="{74D76161-02B8-4604-B6FC-9DC8C479C639}" name="M4"/>
    <tableColumn id="6" xr3:uid="{6CD5612C-61C3-4CBA-8D74-AF3ECAA005B7}" name="Columna1"/>
    <tableColumn id="7" xr3:uid="{4C6783CA-3ED5-4A98-AB5D-7FEDFA2D248C}" name="Columna2"/>
    <tableColumn id="8" xr3:uid="{0D6E436A-861C-4BD8-9C8F-329633597CB1}" name="M5"/>
    <tableColumn id="9" xr3:uid="{2CAF3C94-C8F0-4380-ABA8-5B44E0CBEE2B}" name="X̄ (Media)"/>
    <tableColumn id="10" xr3:uid="{A971ED38-14C5-421E-90B8-9AAE099205D0}" name="R( Rango)"/>
    <tableColumn id="11" xr3:uid="{8D3C834E-6C31-4452-8138-6D582F683C9F}" name="Linea Central X̄"/>
    <tableColumn id="12" xr3:uid="{F32C1AE2-DF5C-4B1E-85F5-53E09259BFAB}" name="LCS X̄"/>
    <tableColumn id="13" xr3:uid="{4ECA37AF-617B-45C6-88B9-D3C3CE753E74}" name="LCI X̄"/>
    <tableColumn id="14" xr3:uid="{4CBCE34A-DF25-4FB7-96C1-BBCBB1AD1817}" name="LCS R"/>
    <tableColumn id="15" xr3:uid="{005D1BED-37FD-4AF8-A294-F955AB7D0280}" name="LCI R"/>
    <tableColumn id="16" xr3:uid="{5F44D526-D3DD-4D03-9717-2D15AC5BDFF4}" name="Linea Central R"/>
    <tableColumn id="17" xr3:uid="{2898AF85-9B70-4FD4-9561-0AC437B3E547}" name="ESTATUS"/>
    <tableColumn id="18" xr3:uid="{9D5560A1-C8F0-4172-B419-13BC8904089A}" name="A2"/>
    <tableColumn id="19" xr3:uid="{325D864B-5345-4825-8118-BB1888E7A695}" name="D4"/>
    <tableColumn id="20" xr3:uid="{968CD72E-A5BF-49F0-BCBF-A8822CDCA4A5}" name="D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88D59A-8C76-4B0B-9904-CE6B2139C0FB}" name="Tabla4" displayName="Tabla4" ref="A23:F24" totalsRowShown="0" headerRowDxfId="0" dataDxfId="1" headerRowBorderDxfId="9" tableBorderDxfId="10" totalsRowBorderDxfId="8">
  <autoFilter ref="A23:F24" xr:uid="{D637059D-C77A-4DD6-8BBD-0E471210BBA6}"/>
  <tableColumns count="6">
    <tableColumn id="1" xr3:uid="{2D75670E-4FC6-4E2B-A49E-B8E46FB4D385}" name="LSE" dataDxfId="7"/>
    <tableColumn id="2" xr3:uid="{F6DDD415-B0CC-4D7E-9272-771A7AE9F85F}" name="LIE" dataDxfId="6"/>
    <tableColumn id="3" xr3:uid="{3FE759CD-ACEC-49A1-AA6B-F5FE233E7B58}" name="MEDIA" dataDxfId="5"/>
    <tableColumn id="4" xr3:uid="{9D276C61-108F-421E-9358-531C245EE758}" name="DESVIACION" dataDxfId="4"/>
    <tableColumn id="5" xr3:uid="{76322714-DA76-4B69-AF86-5AA00BF2C1D2}" name="CP" dataDxfId="3"/>
    <tableColumn id="6" xr3:uid="{12312C81-DD06-4737-A6BA-2D375FB5324C}" name="CPK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2F00-28A1-4D1D-B442-32653E1F9AC3}">
  <dimension ref="A1:AB25"/>
  <sheetViews>
    <sheetView tabSelected="1" zoomScale="70" zoomScaleNormal="70" workbookViewId="0">
      <selection activeCell="F3" sqref="F3"/>
    </sheetView>
  </sheetViews>
  <sheetFormatPr baseColWidth="10" defaultRowHeight="14.4" x14ac:dyDescent="0.3"/>
  <cols>
    <col min="1" max="1" width="18.6640625" bestFit="1" customWidth="1"/>
    <col min="2" max="2" width="32.33203125" customWidth="1"/>
    <col min="3" max="3" width="24.88671875" customWidth="1"/>
    <col min="4" max="4" width="30.109375" customWidth="1"/>
    <col min="5" max="5" width="21.77734375" customWidth="1"/>
    <col min="6" max="6" width="12" bestFit="1" customWidth="1"/>
    <col min="7" max="7" width="10" bestFit="1" customWidth="1"/>
    <col min="9" max="9" width="14.109375" customWidth="1"/>
    <col min="10" max="10" width="6.109375" customWidth="1"/>
    <col min="11" max="13" width="6.44140625" customWidth="1"/>
    <col min="14" max="14" width="0.109375" hidden="1" customWidth="1"/>
    <col min="15" max="15" width="3.109375" hidden="1" customWidth="1"/>
    <col min="16" max="16" width="6.44140625" customWidth="1"/>
    <col min="17" max="17" width="13.77734375" customWidth="1"/>
    <col min="18" max="18" width="14.33203125" customWidth="1"/>
    <col min="19" max="19" width="20.44140625" customWidth="1"/>
    <col min="20" max="20" width="10.109375" customWidth="1"/>
    <col min="21" max="21" width="9.88671875" customWidth="1"/>
    <col min="22" max="22" width="10.109375" customWidth="1"/>
    <col min="23" max="23" width="9.109375" customWidth="1"/>
    <col min="24" max="24" width="20.44140625" customWidth="1"/>
    <col min="25" max="25" width="13.88671875" customWidth="1"/>
    <col min="26" max="26" width="28.6640625" bestFit="1" customWidth="1"/>
    <col min="27" max="27" width="5.6640625" customWidth="1"/>
    <col min="28" max="28" width="34.77734375" bestFit="1" customWidth="1"/>
  </cols>
  <sheetData>
    <row r="1" spans="1:28" ht="16.8" customHeight="1" x14ac:dyDescent="0.3">
      <c r="A1" s="21" t="s">
        <v>7</v>
      </c>
      <c r="B1" s="22"/>
      <c r="C1" s="22"/>
      <c r="D1" s="22"/>
      <c r="E1" s="22"/>
      <c r="F1" s="22"/>
      <c r="G1" s="22"/>
      <c r="H1" s="22"/>
      <c r="I1" s="23" t="s">
        <v>11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3"/>
      <c r="AA1" s="3"/>
      <c r="AB1" s="3"/>
    </row>
    <row r="2" spans="1:28" x14ac:dyDescent="0.3">
      <c r="A2" s="15" t="s">
        <v>6</v>
      </c>
      <c r="B2" s="16" t="s">
        <v>0</v>
      </c>
      <c r="C2" s="16" t="s">
        <v>1</v>
      </c>
      <c r="D2" s="16" t="s">
        <v>2</v>
      </c>
      <c r="E2" s="16" t="s">
        <v>5</v>
      </c>
      <c r="F2" s="16" t="s">
        <v>3</v>
      </c>
      <c r="G2" s="16" t="s">
        <v>4</v>
      </c>
      <c r="H2" s="17" t="s">
        <v>44</v>
      </c>
      <c r="I2" s="18" t="s">
        <v>8</v>
      </c>
      <c r="J2" s="19" t="s">
        <v>12</v>
      </c>
      <c r="K2" s="19" t="s">
        <v>13</v>
      </c>
      <c r="L2" s="19" t="s">
        <v>14</v>
      </c>
      <c r="M2" s="19" t="s">
        <v>15</v>
      </c>
      <c r="N2" s="4" t="s">
        <v>9</v>
      </c>
      <c r="O2" s="4" t="s">
        <v>10</v>
      </c>
      <c r="P2" s="10" t="s">
        <v>16</v>
      </c>
      <c r="Q2" s="19" t="s">
        <v>17</v>
      </c>
      <c r="R2" s="10" t="s">
        <v>18</v>
      </c>
      <c r="S2" s="10" t="s">
        <v>21</v>
      </c>
      <c r="T2" s="10" t="s">
        <v>22</v>
      </c>
      <c r="U2" s="10" t="s">
        <v>23</v>
      </c>
      <c r="V2" s="10" t="s">
        <v>19</v>
      </c>
      <c r="W2" s="10" t="s">
        <v>20</v>
      </c>
      <c r="X2" s="10" t="s">
        <v>24</v>
      </c>
      <c r="Y2" s="10" t="s">
        <v>45</v>
      </c>
      <c r="Z2" s="10" t="s">
        <v>28</v>
      </c>
      <c r="AA2" s="10" t="s">
        <v>26</v>
      </c>
      <c r="AB2" s="10" t="s">
        <v>27</v>
      </c>
    </row>
    <row r="3" spans="1:28" x14ac:dyDescent="0.3">
      <c r="A3" s="5">
        <v>1</v>
      </c>
      <c r="B3" s="1">
        <v>100</v>
      </c>
      <c r="C3" s="1">
        <v>4</v>
      </c>
      <c r="D3" s="1">
        <f>C3/B3</f>
        <v>0.04</v>
      </c>
      <c r="E3" s="1">
        <f>AVERAGE($D$3:$D$7)</f>
        <v>3.6000000000000004E-2</v>
      </c>
      <c r="F3" s="1">
        <f>$E$3+3*SQRT($E$3*(1-$E$3)/$B$3)</f>
        <v>9.1887028906536092E-2</v>
      </c>
      <c r="G3" s="1">
        <f>MAX(0,$E$3-3*SQRT($E$3*(1-$E$3)/$B$3))</f>
        <v>0</v>
      </c>
      <c r="H3" s="13" t="str">
        <f>IF(D3&gt;F3,"FUERA DE CONTROL","ESTABLE")</f>
        <v>ESTABLE</v>
      </c>
      <c r="I3" s="3">
        <v>1</v>
      </c>
      <c r="J3" s="4">
        <v>201</v>
      </c>
      <c r="K3" s="4">
        <v>199</v>
      </c>
      <c r="L3" s="11">
        <v>202</v>
      </c>
      <c r="M3" s="11">
        <v>200</v>
      </c>
      <c r="N3" s="4"/>
      <c r="O3" s="4"/>
      <c r="P3" s="11">
        <v>198</v>
      </c>
      <c r="Q3" s="3">
        <f>AVERAGE(J3:P3)</f>
        <v>200</v>
      </c>
      <c r="R3" s="3">
        <f>MAX(J3:P3)-MIN(J3:P3)</f>
        <v>4</v>
      </c>
      <c r="S3" s="3">
        <f>AVERAGE($Q$3:$Q$22)</f>
        <v>200.1</v>
      </c>
      <c r="T3" s="3">
        <f>$S$3+(Z3*$X$3)</f>
        <v>202.03295</v>
      </c>
      <c r="U3" s="3">
        <f>$S$3-($Z$3*$X$3)</f>
        <v>198.16704999999999</v>
      </c>
      <c r="V3" s="3">
        <f>$AA$3*$X$3</f>
        <v>7.0819000000000001</v>
      </c>
      <c r="W3" s="3">
        <f>$AB$3*$X$3</f>
        <v>0</v>
      </c>
      <c r="X3" s="3">
        <f>AVERAGE($R$3:$R$22)</f>
        <v>3.35</v>
      </c>
      <c r="Y3" s="3" t="str">
        <f>IF(OR(Q3&gt;T3,Q3&lt;U3),"FUERA DE CONTROL","ESTABLE")</f>
        <v>ESTABLE</v>
      </c>
      <c r="Z3" s="14">
        <v>0.57699999999999996</v>
      </c>
      <c r="AA3" s="14">
        <v>2.1139999999999999</v>
      </c>
      <c r="AB3" s="14">
        <v>0</v>
      </c>
    </row>
    <row r="4" spans="1:28" x14ac:dyDescent="0.3">
      <c r="A4" s="5">
        <v>2</v>
      </c>
      <c r="B4" s="1">
        <v>100</v>
      </c>
      <c r="C4" s="1">
        <v>3</v>
      </c>
      <c r="D4" s="1">
        <f t="shared" ref="D4:D7" si="0">C4/B4</f>
        <v>0.03</v>
      </c>
      <c r="E4" s="1">
        <f t="shared" ref="E4:E7" si="1">AVERAGE($D$3:$D$7)</f>
        <v>3.6000000000000004E-2</v>
      </c>
      <c r="F4" s="1">
        <f>$E$3+3*SQRT($E$3*(1-$E$3)/$B$3)</f>
        <v>9.1887028906536092E-2</v>
      </c>
      <c r="G4" s="1">
        <f>MAX(0,$E$3-3*SQRT($E$3*(1-$E$3)/$B$3))</f>
        <v>0</v>
      </c>
      <c r="H4" s="13" t="str">
        <f t="shared" ref="H4:H7" si="2">IF(D4&gt;F4,"FUERA DE CONTROL","ESTABLE")</f>
        <v>ESTABLE</v>
      </c>
      <c r="I4" s="3">
        <v>2</v>
      </c>
      <c r="J4" s="4">
        <v>200</v>
      </c>
      <c r="K4" s="4">
        <v>201</v>
      </c>
      <c r="L4" s="11">
        <v>199</v>
      </c>
      <c r="M4" s="11">
        <v>200</v>
      </c>
      <c r="N4" s="4"/>
      <c r="O4" s="4"/>
      <c r="P4" s="4">
        <v>202</v>
      </c>
      <c r="Q4" s="3">
        <f t="shared" ref="Q4:Q22" si="3">AVERAGE(J4:P4)</f>
        <v>200.4</v>
      </c>
      <c r="R4" s="3">
        <f t="shared" ref="R4:R22" si="4">MAX(J4:P4)-MIN(J4:P4)</f>
        <v>3</v>
      </c>
      <c r="S4" s="3">
        <f>AVERAGE($Q$3:$Q$22)</f>
        <v>200.1</v>
      </c>
      <c r="T4" s="3">
        <f>$S$3+($Z$3*$X$3)</f>
        <v>202.03295</v>
      </c>
      <c r="U4" s="3">
        <f>$S$3-($Z$3*$X$3)</f>
        <v>198.16704999999999</v>
      </c>
      <c r="V4" s="3">
        <f>$AA$3*$X$3</f>
        <v>7.0819000000000001</v>
      </c>
      <c r="W4" s="3">
        <f>$AB$3*$X$3</f>
        <v>0</v>
      </c>
      <c r="X4" s="3">
        <f>AVERAGE($R$3:$R$22)</f>
        <v>3.35</v>
      </c>
      <c r="Y4" s="3" t="str">
        <f t="shared" ref="Y4:Y22" si="5">IF(OR(Q4&gt;T4,Q4&lt;U4),"FUERA DE CONTROL","ESTABLE")</f>
        <v>ESTABLE</v>
      </c>
      <c r="Z4" s="14">
        <v>0.57699999999999996</v>
      </c>
      <c r="AA4" s="14">
        <v>2.1139999999999999</v>
      </c>
      <c r="AB4" s="14">
        <v>0</v>
      </c>
    </row>
    <row r="5" spans="1:28" x14ac:dyDescent="0.3">
      <c r="A5" s="5">
        <v>3</v>
      </c>
      <c r="B5" s="1">
        <v>100</v>
      </c>
      <c r="C5" s="1">
        <v>5</v>
      </c>
      <c r="D5" s="1">
        <f t="shared" si="0"/>
        <v>0.05</v>
      </c>
      <c r="E5" s="1">
        <f t="shared" si="1"/>
        <v>3.6000000000000004E-2</v>
      </c>
      <c r="F5" s="1">
        <f>$E$3+3*SQRT($E$3*(1-$E$3)/$B$3)</f>
        <v>9.1887028906536092E-2</v>
      </c>
      <c r="G5" s="1">
        <f>MAX(0,$E$3-3*SQRT($E$3*(1-$E$3)/$B$3))</f>
        <v>0</v>
      </c>
      <c r="H5" s="13" t="str">
        <f t="shared" si="2"/>
        <v>ESTABLE</v>
      </c>
      <c r="I5" s="3">
        <v>3</v>
      </c>
      <c r="J5" s="4">
        <v>198</v>
      </c>
      <c r="K5" s="4">
        <v>197</v>
      </c>
      <c r="L5" s="11">
        <v>200</v>
      </c>
      <c r="M5" s="11">
        <v>199</v>
      </c>
      <c r="N5" s="4"/>
      <c r="O5" s="4"/>
      <c r="P5" s="4">
        <v>201</v>
      </c>
      <c r="Q5" s="3">
        <f t="shared" si="3"/>
        <v>199</v>
      </c>
      <c r="R5" s="3">
        <f>MAX(J5:P5)-MIN(J5:P5)</f>
        <v>4</v>
      </c>
      <c r="S5" s="3">
        <f>AVERAGE($Q$3:$Q$22)</f>
        <v>200.1</v>
      </c>
      <c r="T5" s="3">
        <f>$S$3+($Z$3*$X$3)</f>
        <v>202.03295</v>
      </c>
      <c r="U5" s="3">
        <f>$S$3-($Z$3*$X$3)</f>
        <v>198.16704999999999</v>
      </c>
      <c r="V5" s="3">
        <f>$AA$3*$X$3</f>
        <v>7.0819000000000001</v>
      </c>
      <c r="W5" s="3">
        <f>$AB$3*$X$3</f>
        <v>0</v>
      </c>
      <c r="X5" s="3">
        <f>AVERAGE($R$3:$R$22)</f>
        <v>3.35</v>
      </c>
      <c r="Y5" s="3" t="str">
        <f t="shared" si="5"/>
        <v>ESTABLE</v>
      </c>
      <c r="Z5" s="14">
        <v>0.57699999999999996</v>
      </c>
      <c r="AA5" s="14">
        <v>2.1139999999999999</v>
      </c>
      <c r="AB5" s="14">
        <v>0</v>
      </c>
    </row>
    <row r="6" spans="1:28" x14ac:dyDescent="0.3">
      <c r="A6" s="5">
        <v>4</v>
      </c>
      <c r="B6" s="1">
        <v>100</v>
      </c>
      <c r="C6" s="1">
        <v>2</v>
      </c>
      <c r="D6" s="1">
        <f t="shared" si="0"/>
        <v>0.02</v>
      </c>
      <c r="E6" s="1">
        <f t="shared" si="1"/>
        <v>3.6000000000000004E-2</v>
      </c>
      <c r="F6" s="1">
        <f>$E$3+3*SQRT($E$3*(1-$E$3)/$B$3)</f>
        <v>9.1887028906536092E-2</v>
      </c>
      <c r="G6" s="1">
        <f>MAX(0,$E$3-3*SQRT($E$3*(1-$E$3)/$B$3))</f>
        <v>0</v>
      </c>
      <c r="H6" s="13" t="str">
        <f t="shared" si="2"/>
        <v>ESTABLE</v>
      </c>
      <c r="I6" s="3">
        <v>4</v>
      </c>
      <c r="J6" s="11">
        <v>202</v>
      </c>
      <c r="K6" s="11">
        <v>203</v>
      </c>
      <c r="L6" s="11">
        <v>201</v>
      </c>
      <c r="M6" s="11">
        <v>200</v>
      </c>
      <c r="N6" s="4"/>
      <c r="O6" s="4"/>
      <c r="P6" s="4">
        <v>199</v>
      </c>
      <c r="Q6" s="3">
        <f t="shared" si="3"/>
        <v>201</v>
      </c>
      <c r="R6" s="3">
        <f t="shared" si="4"/>
        <v>4</v>
      </c>
      <c r="S6" s="3">
        <f>AVERAGE($Q$3:$Q$22)</f>
        <v>200.1</v>
      </c>
      <c r="T6" s="3">
        <f>$S$3+($Z$3*$X$3)</f>
        <v>202.03295</v>
      </c>
      <c r="U6" s="3">
        <f>$S$3-($Z$3*$X$3)</f>
        <v>198.16704999999999</v>
      </c>
      <c r="V6" s="3">
        <f>$AA$3*$X$3</f>
        <v>7.0819000000000001</v>
      </c>
      <c r="W6" s="3">
        <f>$AB$3*$X$3</f>
        <v>0</v>
      </c>
      <c r="X6" s="3">
        <f>AVERAGE($R$3:$R$22)</f>
        <v>3.35</v>
      </c>
      <c r="Y6" s="3" t="str">
        <f t="shared" si="5"/>
        <v>ESTABLE</v>
      </c>
      <c r="Z6" s="14">
        <v>0.57699999999999996</v>
      </c>
      <c r="AA6" s="14">
        <v>2.1139999999999999</v>
      </c>
      <c r="AB6" s="14">
        <v>0</v>
      </c>
    </row>
    <row r="7" spans="1:28" x14ac:dyDescent="0.3">
      <c r="A7" s="6">
        <v>5</v>
      </c>
      <c r="B7" s="7">
        <v>100</v>
      </c>
      <c r="C7" s="7">
        <v>4</v>
      </c>
      <c r="D7" s="7">
        <f t="shared" si="0"/>
        <v>0.04</v>
      </c>
      <c r="E7" s="7">
        <f t="shared" si="1"/>
        <v>3.6000000000000004E-2</v>
      </c>
      <c r="F7" s="7">
        <f>$E$3+3*SQRT($E$3*(1-$E$3)/$B$3)</f>
        <v>9.1887028906536092E-2</v>
      </c>
      <c r="G7" s="7">
        <f>MAX(0,$E$3-3*SQRT($E$3*(1-$E$3)/$B$3))</f>
        <v>0</v>
      </c>
      <c r="H7" s="8" t="str">
        <f t="shared" si="2"/>
        <v>ESTABLE</v>
      </c>
      <c r="I7" s="3">
        <v>5</v>
      </c>
      <c r="J7" s="11">
        <v>199</v>
      </c>
      <c r="K7" s="11">
        <v>200</v>
      </c>
      <c r="L7" s="11">
        <v>198</v>
      </c>
      <c r="M7" s="11">
        <v>201</v>
      </c>
      <c r="N7" s="4"/>
      <c r="O7" s="4"/>
      <c r="P7" s="4">
        <v>200</v>
      </c>
      <c r="Q7" s="3">
        <f t="shared" si="3"/>
        <v>199.6</v>
      </c>
      <c r="R7" s="3">
        <f t="shared" si="4"/>
        <v>3</v>
      </c>
      <c r="S7" s="3">
        <f>AVERAGE($Q$3:$Q$22)</f>
        <v>200.1</v>
      </c>
      <c r="T7" s="3">
        <f>$S$3+($Z$3*$X$3)</f>
        <v>202.03295</v>
      </c>
      <c r="U7" s="3">
        <f>$S$3-($Z$3*$X$3)</f>
        <v>198.16704999999999</v>
      </c>
      <c r="V7" s="3">
        <f>$AA$3*$X$3</f>
        <v>7.0819000000000001</v>
      </c>
      <c r="W7" s="3">
        <f>$AB$3*$X$3</f>
        <v>0</v>
      </c>
      <c r="X7" s="3">
        <f>AVERAGE($R$3:$R$22)</f>
        <v>3.35</v>
      </c>
      <c r="Y7" s="3" t="str">
        <f t="shared" si="5"/>
        <v>ESTABLE</v>
      </c>
      <c r="Z7" s="14">
        <v>0.57699999999999996</v>
      </c>
      <c r="AA7" s="14">
        <v>2.1139999999999999</v>
      </c>
      <c r="AB7" s="14">
        <v>0</v>
      </c>
    </row>
    <row r="8" spans="1:28" x14ac:dyDescent="0.3">
      <c r="I8" s="3">
        <v>6</v>
      </c>
      <c r="J8" s="11">
        <v>200</v>
      </c>
      <c r="K8" s="11">
        <v>202</v>
      </c>
      <c r="L8" s="11">
        <v>201</v>
      </c>
      <c r="M8" s="11">
        <v>199</v>
      </c>
      <c r="N8" s="4"/>
      <c r="O8" s="4"/>
      <c r="P8" s="4">
        <v>200</v>
      </c>
      <c r="Q8" s="3">
        <f t="shared" si="3"/>
        <v>200.4</v>
      </c>
      <c r="R8" s="3">
        <f t="shared" si="4"/>
        <v>3</v>
      </c>
      <c r="S8" s="3">
        <f>AVERAGE($Q$3:$Q$22)</f>
        <v>200.1</v>
      </c>
      <c r="T8" s="3">
        <f>$S$3+($Z$3*$X$3)</f>
        <v>202.03295</v>
      </c>
      <c r="U8" s="3">
        <f>$S$3-($Z$3*$X$3)</f>
        <v>198.16704999999999</v>
      </c>
      <c r="V8" s="3">
        <f>$AA$3*$X$3</f>
        <v>7.0819000000000001</v>
      </c>
      <c r="W8" s="3">
        <f>$AB$3*$X$3</f>
        <v>0</v>
      </c>
      <c r="X8" s="3">
        <f>AVERAGE($R$3:$R$22)</f>
        <v>3.35</v>
      </c>
      <c r="Y8" s="3" t="str">
        <f t="shared" si="5"/>
        <v>ESTABLE</v>
      </c>
      <c r="Z8" s="14">
        <v>0.57699999999999996</v>
      </c>
      <c r="AA8" s="14">
        <v>2.1139999999999999</v>
      </c>
      <c r="AB8" s="14">
        <v>0</v>
      </c>
    </row>
    <row r="9" spans="1:28" ht="16.8" customHeight="1" x14ac:dyDescent="0.3">
      <c r="A9" s="34"/>
      <c r="B9" s="34"/>
      <c r="C9" s="34"/>
      <c r="D9" s="34"/>
      <c r="E9" s="34"/>
      <c r="F9" s="34"/>
      <c r="I9" s="3">
        <v>7</v>
      </c>
      <c r="J9" s="11">
        <v>201</v>
      </c>
      <c r="K9" s="11">
        <v>200</v>
      </c>
      <c r="L9" s="11">
        <v>199</v>
      </c>
      <c r="M9" s="11">
        <v>198</v>
      </c>
      <c r="N9" s="4"/>
      <c r="O9" s="4"/>
      <c r="P9" s="4">
        <v>202</v>
      </c>
      <c r="Q9" s="3">
        <f t="shared" si="3"/>
        <v>200</v>
      </c>
      <c r="R9" s="3">
        <f t="shared" si="4"/>
        <v>4</v>
      </c>
      <c r="S9" s="3">
        <f>AVERAGE($Q$3:$Q$22)</f>
        <v>200.1</v>
      </c>
      <c r="T9" s="3">
        <f>$S$3+($Z$3*$X$3)</f>
        <v>202.03295</v>
      </c>
      <c r="U9" s="3">
        <f>$S$3-($Z$3*$X$3)</f>
        <v>198.16704999999999</v>
      </c>
      <c r="V9" s="3">
        <f>$AA$3*$X$3</f>
        <v>7.0819000000000001</v>
      </c>
      <c r="W9" s="3">
        <f>$AB$3*$X$3</f>
        <v>0</v>
      </c>
      <c r="X9" s="3">
        <f>AVERAGE($R$3:$R$22)</f>
        <v>3.35</v>
      </c>
      <c r="Y9" s="3" t="str">
        <f t="shared" si="5"/>
        <v>ESTABLE</v>
      </c>
      <c r="Z9" s="14">
        <v>0.57699999999999996</v>
      </c>
      <c r="AA9" s="14">
        <v>2.1139999999999999</v>
      </c>
      <c r="AB9" s="14">
        <v>0</v>
      </c>
    </row>
    <row r="10" spans="1:28" x14ac:dyDescent="0.3">
      <c r="A10" s="24"/>
      <c r="B10" s="24"/>
      <c r="C10" s="24"/>
      <c r="D10" s="24"/>
      <c r="E10" s="24"/>
      <c r="F10" s="24"/>
      <c r="I10" s="3">
        <v>8</v>
      </c>
      <c r="J10" s="11">
        <v>197</v>
      </c>
      <c r="K10" s="11">
        <v>199</v>
      </c>
      <c r="L10" s="11">
        <v>200</v>
      </c>
      <c r="M10" s="11">
        <v>201</v>
      </c>
      <c r="N10" s="4"/>
      <c r="O10" s="4"/>
      <c r="P10" s="4">
        <v>198</v>
      </c>
      <c r="Q10" s="3">
        <f t="shared" si="3"/>
        <v>199</v>
      </c>
      <c r="R10" s="3">
        <f t="shared" si="4"/>
        <v>4</v>
      </c>
      <c r="S10" s="3">
        <f>AVERAGE($Q$3:$Q$22)</f>
        <v>200.1</v>
      </c>
      <c r="T10" s="3">
        <f>$S$3+($Z$3*$X$3)</f>
        <v>202.03295</v>
      </c>
      <c r="U10" s="3">
        <f>$S$3-($Z$3*$X$3)</f>
        <v>198.16704999999999</v>
      </c>
      <c r="V10" s="3">
        <f>$AA$3*$X$3</f>
        <v>7.0819000000000001</v>
      </c>
      <c r="W10" s="3">
        <f>$AB$3*$X$3</f>
        <v>0</v>
      </c>
      <c r="X10" s="3">
        <f>AVERAGE($R$3:$R$22)</f>
        <v>3.35</v>
      </c>
      <c r="Y10" s="3" t="str">
        <f t="shared" si="5"/>
        <v>ESTABLE</v>
      </c>
      <c r="Z10" s="14">
        <v>0.57699999999999996</v>
      </c>
      <c r="AA10" s="14">
        <v>2.1139999999999999</v>
      </c>
      <c r="AB10" s="14">
        <v>0</v>
      </c>
    </row>
    <row r="11" spans="1:28" x14ac:dyDescent="0.3">
      <c r="A11" s="24"/>
      <c r="B11" s="24"/>
      <c r="C11" s="24"/>
      <c r="D11" s="24"/>
      <c r="E11" s="24"/>
      <c r="F11" s="24"/>
      <c r="I11" s="3">
        <v>9</v>
      </c>
      <c r="J11" s="11">
        <v>203</v>
      </c>
      <c r="K11" s="11">
        <v>201</v>
      </c>
      <c r="L11" s="11">
        <v>202</v>
      </c>
      <c r="M11" s="11">
        <v>200</v>
      </c>
      <c r="N11" s="4"/>
      <c r="O11" s="4"/>
      <c r="P11" s="4">
        <v>201</v>
      </c>
      <c r="Q11" s="3">
        <f t="shared" si="3"/>
        <v>201.4</v>
      </c>
      <c r="R11" s="3">
        <f t="shared" si="4"/>
        <v>3</v>
      </c>
      <c r="S11" s="3">
        <f>AVERAGE($Q$3:$Q$22)</f>
        <v>200.1</v>
      </c>
      <c r="T11" s="3">
        <f>$S$3+($Z$3*$X$3)</f>
        <v>202.03295</v>
      </c>
      <c r="U11" s="3">
        <f>$S$3-($Z$3*$X$3)</f>
        <v>198.16704999999999</v>
      </c>
      <c r="V11" s="3">
        <f>$AA$3*$X$3</f>
        <v>7.0819000000000001</v>
      </c>
      <c r="W11" s="3">
        <f>$AB$3*$X$3</f>
        <v>0</v>
      </c>
      <c r="X11" s="3">
        <f>AVERAGE($R$3:$R$22)</f>
        <v>3.35</v>
      </c>
      <c r="Y11" s="3" t="str">
        <f t="shared" si="5"/>
        <v>ESTABLE</v>
      </c>
      <c r="Z11" s="14">
        <v>0.57699999999999996</v>
      </c>
      <c r="AA11" s="14">
        <v>2.1139999999999999</v>
      </c>
      <c r="AB11" s="14">
        <v>0</v>
      </c>
    </row>
    <row r="12" spans="1:28" x14ac:dyDescent="0.3">
      <c r="I12" s="3">
        <v>10</v>
      </c>
      <c r="J12" s="11">
        <v>200</v>
      </c>
      <c r="K12" s="11">
        <v>198</v>
      </c>
      <c r="L12" s="11">
        <v>199</v>
      </c>
      <c r="M12" s="11">
        <v>201</v>
      </c>
      <c r="N12" s="4"/>
      <c r="O12" s="4"/>
      <c r="P12" s="4">
        <v>200</v>
      </c>
      <c r="Q12" s="3">
        <f t="shared" si="3"/>
        <v>199.6</v>
      </c>
      <c r="R12" s="3">
        <f t="shared" si="4"/>
        <v>3</v>
      </c>
      <c r="S12" s="3">
        <f>AVERAGE($Q$3:$Q$22)</f>
        <v>200.1</v>
      </c>
      <c r="T12" s="3">
        <f>$S$3+($Z$3*$X$3)</f>
        <v>202.03295</v>
      </c>
      <c r="U12" s="3">
        <f>$S$3-($Z$3*$X$3)</f>
        <v>198.16704999999999</v>
      </c>
      <c r="V12" s="3">
        <f>$AA$3*$X$3</f>
        <v>7.0819000000000001</v>
      </c>
      <c r="W12" s="3">
        <f>$AB$3*$X$3</f>
        <v>0</v>
      </c>
      <c r="X12" s="3">
        <f>AVERAGE($R$3:$R$22)</f>
        <v>3.35</v>
      </c>
      <c r="Y12" s="3" t="str">
        <f t="shared" si="5"/>
        <v>ESTABLE</v>
      </c>
      <c r="Z12" s="14">
        <v>0.57699999999999996</v>
      </c>
      <c r="AA12" s="14">
        <v>2.1139999999999999</v>
      </c>
      <c r="AB12" s="14">
        <v>0</v>
      </c>
    </row>
    <row r="13" spans="1:28" x14ac:dyDescent="0.3">
      <c r="A13" s="30" t="s">
        <v>25</v>
      </c>
      <c r="B13" s="31"/>
      <c r="C13" s="31"/>
      <c r="D13" s="20"/>
      <c r="I13" s="3">
        <v>11</v>
      </c>
      <c r="J13" s="11">
        <v>201</v>
      </c>
      <c r="K13" s="11">
        <v>202</v>
      </c>
      <c r="L13" s="11">
        <v>200</v>
      </c>
      <c r="M13" s="11">
        <v>199</v>
      </c>
      <c r="N13" s="4"/>
      <c r="O13" s="4"/>
      <c r="P13" s="4">
        <v>201</v>
      </c>
      <c r="Q13" s="3">
        <f t="shared" si="3"/>
        <v>200.6</v>
      </c>
      <c r="R13" s="3">
        <f t="shared" si="4"/>
        <v>3</v>
      </c>
      <c r="S13" s="3">
        <f>AVERAGE($Q$3:$Q$22)</f>
        <v>200.1</v>
      </c>
      <c r="T13" s="3">
        <f>$S$3+($Z$3*$X$3)</f>
        <v>202.03295</v>
      </c>
      <c r="U13" s="3">
        <f>$S$3-($Z$3*$X$3)</f>
        <v>198.16704999999999</v>
      </c>
      <c r="V13" s="3">
        <f>$AA$3*$X$3</f>
        <v>7.0819000000000001</v>
      </c>
      <c r="W13" s="3">
        <f>$AB$3*$X$3</f>
        <v>0</v>
      </c>
      <c r="X13" s="3">
        <f>AVERAGE($R$3:$R$22)</f>
        <v>3.35</v>
      </c>
      <c r="Y13" s="3" t="str">
        <f t="shared" si="5"/>
        <v>ESTABLE</v>
      </c>
      <c r="Z13" s="14">
        <v>0.57699999999999996</v>
      </c>
      <c r="AA13" s="14">
        <v>2.1139999999999999</v>
      </c>
      <c r="AB13" s="14">
        <v>0</v>
      </c>
    </row>
    <row r="14" spans="1:28" x14ac:dyDescent="0.3">
      <c r="A14" s="10" t="s">
        <v>30</v>
      </c>
      <c r="B14" s="10" t="s">
        <v>31</v>
      </c>
      <c r="C14" s="32" t="s">
        <v>32</v>
      </c>
      <c r="D14" s="33"/>
      <c r="E14" s="29"/>
      <c r="F14" s="29"/>
      <c r="I14" s="3">
        <v>12</v>
      </c>
      <c r="J14" s="11">
        <v>198</v>
      </c>
      <c r="K14" s="11">
        <v>200</v>
      </c>
      <c r="L14" s="11">
        <v>201</v>
      </c>
      <c r="M14" s="11">
        <v>199</v>
      </c>
      <c r="N14" s="4"/>
      <c r="O14" s="4"/>
      <c r="P14" s="4">
        <v>197</v>
      </c>
      <c r="Q14" s="3">
        <f t="shared" si="3"/>
        <v>199</v>
      </c>
      <c r="R14" s="3">
        <f t="shared" si="4"/>
        <v>4</v>
      </c>
      <c r="S14" s="3">
        <f>AVERAGE($Q$3:$Q$22)</f>
        <v>200.1</v>
      </c>
      <c r="T14" s="3">
        <f>$S$3+($Z$3*$X$3)</f>
        <v>202.03295</v>
      </c>
      <c r="U14" s="3">
        <f>$S$3-($Z$3*$X$3)</f>
        <v>198.16704999999999</v>
      </c>
      <c r="V14" s="3">
        <f>$AA$3*$X$3</f>
        <v>7.0819000000000001</v>
      </c>
      <c r="W14" s="3">
        <f>$AB$3*$X$3</f>
        <v>0</v>
      </c>
      <c r="X14" s="3">
        <f>AVERAGE($R$3:$R$22)</f>
        <v>3.35</v>
      </c>
      <c r="Y14" s="3" t="str">
        <f t="shared" si="5"/>
        <v>ESTABLE</v>
      </c>
      <c r="Z14" s="14">
        <v>0.57699999999999996</v>
      </c>
      <c r="AA14" s="14">
        <v>2.1139999999999999</v>
      </c>
      <c r="AB14" s="14">
        <v>0</v>
      </c>
    </row>
    <row r="15" spans="1:28" x14ac:dyDescent="0.3">
      <c r="A15" s="11" t="s">
        <v>29</v>
      </c>
      <c r="B15" s="3">
        <v>100</v>
      </c>
      <c r="C15" s="25" t="s">
        <v>38</v>
      </c>
      <c r="D15" s="25"/>
      <c r="E15" s="24"/>
      <c r="F15" s="24"/>
      <c r="I15" s="3">
        <v>13</v>
      </c>
      <c r="J15" s="11">
        <v>202</v>
      </c>
      <c r="K15" s="11">
        <v>201</v>
      </c>
      <c r="L15" s="11">
        <v>200</v>
      </c>
      <c r="M15" s="11">
        <v>203</v>
      </c>
      <c r="N15" s="4"/>
      <c r="O15" s="4"/>
      <c r="P15" s="4">
        <v>201</v>
      </c>
      <c r="Q15" s="3">
        <f t="shared" si="3"/>
        <v>201.4</v>
      </c>
      <c r="R15" s="3">
        <f t="shared" si="4"/>
        <v>3</v>
      </c>
      <c r="S15" s="3">
        <f>AVERAGE($Q$3:$Q$22)</f>
        <v>200.1</v>
      </c>
      <c r="T15" s="3">
        <f>$S$3+($Z$3*$X$3)</f>
        <v>202.03295</v>
      </c>
      <c r="U15" s="3">
        <f>$S$3-($Z$3*$X$3)</f>
        <v>198.16704999999999</v>
      </c>
      <c r="V15" s="3">
        <f>$AA$3*$X$3</f>
        <v>7.0819000000000001</v>
      </c>
      <c r="W15" s="3">
        <f>$AB$3*$X$3</f>
        <v>0</v>
      </c>
      <c r="X15" s="3">
        <f>AVERAGE($R$3:$R$22)</f>
        <v>3.35</v>
      </c>
      <c r="Y15" s="3" t="str">
        <f t="shared" si="5"/>
        <v>ESTABLE</v>
      </c>
      <c r="Z15" s="14">
        <v>0.57699999999999996</v>
      </c>
      <c r="AA15" s="14">
        <v>2.1139999999999999</v>
      </c>
      <c r="AB15" s="14">
        <v>0</v>
      </c>
    </row>
    <row r="16" spans="1:28" x14ac:dyDescent="0.3">
      <c r="A16" s="3" t="s">
        <v>33</v>
      </c>
      <c r="B16" s="3">
        <v>96</v>
      </c>
      <c r="C16" s="25" t="s">
        <v>39</v>
      </c>
      <c r="D16" s="25"/>
      <c r="E16" s="24"/>
      <c r="F16" s="24"/>
      <c r="I16" s="3">
        <v>14</v>
      </c>
      <c r="J16" s="11">
        <v>199</v>
      </c>
      <c r="K16" s="11">
        <v>198</v>
      </c>
      <c r="L16" s="11">
        <v>200</v>
      </c>
      <c r="M16" s="11">
        <v>201</v>
      </c>
      <c r="N16" s="4"/>
      <c r="O16" s="4"/>
      <c r="P16" s="4">
        <v>199</v>
      </c>
      <c r="Q16" s="3">
        <f t="shared" si="3"/>
        <v>199.4</v>
      </c>
      <c r="R16" s="3">
        <f t="shared" si="4"/>
        <v>3</v>
      </c>
      <c r="S16" s="3">
        <f>AVERAGE($Q$3:$Q$22)</f>
        <v>200.1</v>
      </c>
      <c r="T16" s="3">
        <f>$S$3+($Z$3*$X$3)</f>
        <v>202.03295</v>
      </c>
      <c r="U16" s="3">
        <f>$S$3-($Z$3*$X$3)</f>
        <v>198.16704999999999</v>
      </c>
      <c r="V16" s="3">
        <f>$AA$3*$X$3</f>
        <v>7.0819000000000001</v>
      </c>
      <c r="W16" s="3">
        <f>$AB$3*$X$3</f>
        <v>0</v>
      </c>
      <c r="X16" s="3">
        <f>AVERAGE($R$3:$R$22)</f>
        <v>3.35</v>
      </c>
      <c r="Y16" s="3" t="str">
        <f t="shared" si="5"/>
        <v>ESTABLE</v>
      </c>
      <c r="Z16" s="14">
        <v>0.57699999999999996</v>
      </c>
      <c r="AA16" s="14">
        <v>2.1139999999999999</v>
      </c>
      <c r="AB16" s="14">
        <v>0</v>
      </c>
    </row>
    <row r="17" spans="1:28" x14ac:dyDescent="0.3">
      <c r="A17" s="3" t="s">
        <v>34</v>
      </c>
      <c r="B17" s="3">
        <v>98.2</v>
      </c>
      <c r="C17" s="25" t="s">
        <v>41</v>
      </c>
      <c r="D17" s="25"/>
      <c r="I17" s="3">
        <v>15</v>
      </c>
      <c r="J17" s="11">
        <v>200</v>
      </c>
      <c r="K17" s="11">
        <v>200</v>
      </c>
      <c r="L17" s="11">
        <v>202</v>
      </c>
      <c r="M17" s="11">
        <v>201</v>
      </c>
      <c r="N17" s="4"/>
      <c r="O17" s="4"/>
      <c r="P17" s="4">
        <v>200</v>
      </c>
      <c r="Q17" s="3">
        <f t="shared" si="3"/>
        <v>200.6</v>
      </c>
      <c r="R17" s="3">
        <f t="shared" si="4"/>
        <v>2</v>
      </c>
      <c r="S17" s="3">
        <f>AVERAGE($Q$3:$Q$22)</f>
        <v>200.1</v>
      </c>
      <c r="T17" s="3">
        <f>$S$3+($Z$3*$X$3)</f>
        <v>202.03295</v>
      </c>
      <c r="U17" s="3">
        <f>$S$3-($Z$3*$X$3)</f>
        <v>198.16704999999999</v>
      </c>
      <c r="V17" s="3">
        <f>$AA$3*$X$3</f>
        <v>7.0819000000000001</v>
      </c>
      <c r="W17" s="3">
        <f>$AB$3*$X$3</f>
        <v>0</v>
      </c>
      <c r="X17" s="3">
        <f>AVERAGE($R$3:$R$22)</f>
        <v>3.35</v>
      </c>
      <c r="Y17" s="3" t="str">
        <f t="shared" si="5"/>
        <v>ESTABLE</v>
      </c>
      <c r="Z17" s="14">
        <v>0.57699999999999996</v>
      </c>
      <c r="AA17" s="14">
        <v>2.1139999999999999</v>
      </c>
      <c r="AB17" s="14">
        <v>0</v>
      </c>
    </row>
    <row r="18" spans="1:28" x14ac:dyDescent="0.3">
      <c r="A18" s="12" t="s">
        <v>35</v>
      </c>
      <c r="B18" s="12">
        <v>0.5</v>
      </c>
      <c r="C18" s="25" t="s">
        <v>40</v>
      </c>
      <c r="D18" s="25"/>
      <c r="I18" s="3">
        <v>16</v>
      </c>
      <c r="J18" s="11">
        <v>201</v>
      </c>
      <c r="K18" s="11">
        <v>199</v>
      </c>
      <c r="L18" s="11">
        <v>198</v>
      </c>
      <c r="M18" s="11">
        <v>200</v>
      </c>
      <c r="N18" s="4"/>
      <c r="O18" s="4"/>
      <c r="P18" s="4">
        <v>202</v>
      </c>
      <c r="Q18" s="3">
        <f t="shared" si="3"/>
        <v>200</v>
      </c>
      <c r="R18" s="3">
        <f t="shared" si="4"/>
        <v>4</v>
      </c>
      <c r="S18" s="3">
        <f>AVERAGE($Q$3:$Q$22)</f>
        <v>200.1</v>
      </c>
      <c r="T18" s="3">
        <f>$S$3+($Z$3*$X$3)</f>
        <v>202.03295</v>
      </c>
      <c r="U18" s="3">
        <f>$S$3-($Z$3*$X$3)</f>
        <v>198.16704999999999</v>
      </c>
      <c r="V18" s="3">
        <f>$AA$3*$X$3</f>
        <v>7.0819000000000001</v>
      </c>
      <c r="W18" s="3">
        <f>$AB$3*$X$3</f>
        <v>0</v>
      </c>
      <c r="X18" s="3">
        <f>AVERAGE($R$3:$R$22)</f>
        <v>3.35</v>
      </c>
      <c r="Y18" s="3" t="str">
        <f t="shared" si="5"/>
        <v>ESTABLE</v>
      </c>
      <c r="Z18" s="14">
        <v>0.57699999999999996</v>
      </c>
      <c r="AA18" s="14">
        <v>2.1139999999999999</v>
      </c>
      <c r="AB18" s="14">
        <v>0</v>
      </c>
    </row>
    <row r="19" spans="1:28" x14ac:dyDescent="0.3">
      <c r="A19" s="3" t="s">
        <v>36</v>
      </c>
      <c r="B19" s="12">
        <f>($B$15-$B$16)/(6*$B$18)</f>
        <v>1.3333333333333333</v>
      </c>
      <c r="C19" s="25" t="s">
        <v>43</v>
      </c>
      <c r="D19" s="25"/>
      <c r="I19" s="3">
        <v>17</v>
      </c>
      <c r="J19" s="11">
        <v>198</v>
      </c>
      <c r="K19" s="11">
        <v>197</v>
      </c>
      <c r="L19" s="11">
        <v>199</v>
      </c>
      <c r="M19" s="11">
        <v>200</v>
      </c>
      <c r="N19" s="4"/>
      <c r="O19" s="4"/>
      <c r="P19" s="4">
        <v>201</v>
      </c>
      <c r="Q19" s="3">
        <f t="shared" si="3"/>
        <v>199</v>
      </c>
      <c r="R19" s="3">
        <f t="shared" si="4"/>
        <v>4</v>
      </c>
      <c r="S19" s="3">
        <f>AVERAGE($Q$3:$Q$22)</f>
        <v>200.1</v>
      </c>
      <c r="T19" s="3">
        <f>$S$3+($Z$3*$X$3)</f>
        <v>202.03295</v>
      </c>
      <c r="U19" s="3">
        <f>$S$3-($Z$3*$X$3)</f>
        <v>198.16704999999999</v>
      </c>
      <c r="V19" s="3">
        <f>$AA$3*$X$3</f>
        <v>7.0819000000000001</v>
      </c>
      <c r="W19" s="3">
        <f>$AB$3*$X$3</f>
        <v>0</v>
      </c>
      <c r="X19" s="3">
        <f>AVERAGE($R$3:$R$22)</f>
        <v>3.35</v>
      </c>
      <c r="Y19" s="3" t="str">
        <f t="shared" si="5"/>
        <v>ESTABLE</v>
      </c>
      <c r="Z19" s="14">
        <v>0.57699999999999996</v>
      </c>
      <c r="AA19" s="14">
        <v>2.1139999999999999</v>
      </c>
      <c r="AB19" s="14">
        <v>0</v>
      </c>
    </row>
    <row r="20" spans="1:28" x14ac:dyDescent="0.3">
      <c r="A20" s="3" t="s">
        <v>37</v>
      </c>
      <c r="B20" s="12">
        <f>MIN(((B15-B17)/(3*B18)),((B17-B16)/(3*B18)))</f>
        <v>1.1999999999999982</v>
      </c>
      <c r="C20" s="25" t="s">
        <v>42</v>
      </c>
      <c r="D20" s="25"/>
      <c r="I20" s="3">
        <v>18</v>
      </c>
      <c r="J20" s="11">
        <v>202</v>
      </c>
      <c r="K20" s="11">
        <v>201</v>
      </c>
      <c r="L20" s="11">
        <v>203</v>
      </c>
      <c r="M20" s="11">
        <v>200</v>
      </c>
      <c r="N20" s="4"/>
      <c r="O20" s="4"/>
      <c r="P20" s="4">
        <v>201</v>
      </c>
      <c r="Q20" s="3">
        <f t="shared" si="3"/>
        <v>201.4</v>
      </c>
      <c r="R20" s="3">
        <f t="shared" si="4"/>
        <v>3</v>
      </c>
      <c r="S20" s="3">
        <f>AVERAGE($Q$3:$Q$22)</f>
        <v>200.1</v>
      </c>
      <c r="T20" s="3">
        <f>$S$3+($Z$3*$X$3)</f>
        <v>202.03295</v>
      </c>
      <c r="U20" s="3">
        <f>$S$3-($Z$3*$X$3)</f>
        <v>198.16704999999999</v>
      </c>
      <c r="V20" s="3">
        <f>$AA$3*$X$3</f>
        <v>7.0819000000000001</v>
      </c>
      <c r="W20" s="3">
        <f>$AB$3*$X$3</f>
        <v>0</v>
      </c>
      <c r="X20" s="3">
        <f>AVERAGE($R$3:$R$22)</f>
        <v>3.35</v>
      </c>
      <c r="Y20" s="3" t="str">
        <f t="shared" si="5"/>
        <v>ESTABLE</v>
      </c>
      <c r="Z20" s="14">
        <v>0.57699999999999996</v>
      </c>
      <c r="AA20" s="14">
        <v>2.1139999999999999</v>
      </c>
      <c r="AB20" s="14">
        <v>0</v>
      </c>
    </row>
    <row r="21" spans="1:28" x14ac:dyDescent="0.3">
      <c r="I21" s="3">
        <v>19</v>
      </c>
      <c r="J21" s="11">
        <v>200</v>
      </c>
      <c r="K21" s="11">
        <v>199</v>
      </c>
      <c r="L21" s="11">
        <v>201</v>
      </c>
      <c r="M21" s="11">
        <v>200</v>
      </c>
      <c r="N21" s="4"/>
      <c r="O21" s="4"/>
      <c r="P21" s="4">
        <v>198</v>
      </c>
      <c r="Q21" s="3">
        <f t="shared" si="3"/>
        <v>199.6</v>
      </c>
      <c r="R21" s="3">
        <f t="shared" si="4"/>
        <v>3</v>
      </c>
      <c r="S21" s="3">
        <f>AVERAGE($Q$3:$Q$22)</f>
        <v>200.1</v>
      </c>
      <c r="T21" s="3">
        <f>$S$3+($Z$3*$X$3)</f>
        <v>202.03295</v>
      </c>
      <c r="U21" s="3">
        <f>$S$3-($Z$3*$X$3)</f>
        <v>198.16704999999999</v>
      </c>
      <c r="V21" s="3">
        <f>$AA$3*$X$3</f>
        <v>7.0819000000000001</v>
      </c>
      <c r="W21" s="3">
        <f>$AB$3*$X$3</f>
        <v>0</v>
      </c>
      <c r="X21" s="3">
        <f>AVERAGE($R$3:$R$22)</f>
        <v>3.35</v>
      </c>
      <c r="Y21" s="3" t="str">
        <f t="shared" si="5"/>
        <v>ESTABLE</v>
      </c>
      <c r="Z21" s="14">
        <v>0.57699999999999996</v>
      </c>
      <c r="AA21" s="14">
        <v>2.1139999999999999</v>
      </c>
      <c r="AB21" s="14">
        <v>0</v>
      </c>
    </row>
    <row r="22" spans="1:28" x14ac:dyDescent="0.3">
      <c r="I22" s="3">
        <v>20</v>
      </c>
      <c r="J22" s="11">
        <v>201</v>
      </c>
      <c r="K22" s="11">
        <v>202</v>
      </c>
      <c r="L22" s="11">
        <v>200</v>
      </c>
      <c r="M22" s="11">
        <v>199</v>
      </c>
      <c r="N22" s="4"/>
      <c r="O22" s="4"/>
      <c r="P22" s="4">
        <v>201</v>
      </c>
      <c r="Q22" s="3">
        <f t="shared" si="3"/>
        <v>200.6</v>
      </c>
      <c r="R22" s="3">
        <f t="shared" si="4"/>
        <v>3</v>
      </c>
      <c r="S22" s="3">
        <f>AVERAGE($Q$3:$Q$22)</f>
        <v>200.1</v>
      </c>
      <c r="T22" s="3">
        <f>$S$3+($Z$3*$X$3)</f>
        <v>202.03295</v>
      </c>
      <c r="U22" s="3">
        <f>$S$3-($Z$3*$X$3)</f>
        <v>198.16704999999999</v>
      </c>
      <c r="V22" s="3">
        <f>$AA$3*$X$3</f>
        <v>7.0819000000000001</v>
      </c>
      <c r="W22" s="3">
        <f>$AB$3*$X$3</f>
        <v>0</v>
      </c>
      <c r="X22" s="3">
        <f>AVERAGE($R$3:$R$22)</f>
        <v>3.35</v>
      </c>
      <c r="Y22" s="3" t="str">
        <f t="shared" si="5"/>
        <v>ESTABLE</v>
      </c>
      <c r="Z22" s="14">
        <v>0.57699999999999996</v>
      </c>
      <c r="AA22" s="14">
        <v>2.1139999999999999</v>
      </c>
      <c r="AB22" s="14">
        <v>0</v>
      </c>
    </row>
    <row r="23" spans="1:28" x14ac:dyDescent="0.3">
      <c r="A23" s="35" t="s">
        <v>46</v>
      </c>
      <c r="B23" s="36" t="s">
        <v>47</v>
      </c>
      <c r="C23" s="36" t="s">
        <v>48</v>
      </c>
      <c r="D23" s="36" t="s">
        <v>49</v>
      </c>
      <c r="E23" s="36" t="s">
        <v>50</v>
      </c>
      <c r="F23" s="37" t="s">
        <v>51</v>
      </c>
      <c r="H23" s="9"/>
      <c r="J23" s="2"/>
    </row>
    <row r="24" spans="1:28" x14ac:dyDescent="0.3">
      <c r="A24" s="26">
        <v>100</v>
      </c>
      <c r="B24" s="27">
        <v>96</v>
      </c>
      <c r="C24" s="27">
        <v>98.2</v>
      </c>
      <c r="D24" s="27">
        <v>0.5</v>
      </c>
      <c r="E24" s="27">
        <v>1.33</v>
      </c>
      <c r="F24" s="28">
        <v>1.2</v>
      </c>
      <c r="H24" s="9"/>
    </row>
    <row r="25" spans="1:28" x14ac:dyDescent="0.3">
      <c r="H25" s="9"/>
    </row>
  </sheetData>
  <mergeCells count="10">
    <mergeCell ref="A13:D13"/>
    <mergeCell ref="C14:D14"/>
    <mergeCell ref="C17:D17"/>
    <mergeCell ref="C18:D18"/>
    <mergeCell ref="C19:D19"/>
    <mergeCell ref="C20:D20"/>
    <mergeCell ref="A1:H1"/>
    <mergeCell ref="I1:Y1"/>
    <mergeCell ref="C15:D15"/>
    <mergeCell ref="C16:D16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CONTROL_PESOS</vt:lpstr>
      <vt:lpstr>TABLA_PESOS</vt:lpstr>
      <vt:lpstr>TABLA_PUREZA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2026-03-07T03:06:19Z</dcterms:created>
  <dcterms:modified xsi:type="dcterms:W3CDTF">2026-03-08T04:38:22Z</dcterms:modified>
</cp:coreProperties>
</file>